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1"/>
    <row r="2" ht="24.45" customHeight="1" s="25">
      <c r="B2" s="26" t="inlineStr">
        <is>
          <t>Exit Timing Calendar</t>
        </is>
      </c>
    </row>
    <row r="3" ht="18" customHeight="1" s="25">
      <c r="B3" s="27" t="inlineStr">
        <is>
          <t>Input tracker. Fill in one row per private position, then hand the sheet to your AI tool.</t>
        </is>
      </c>
    </row>
    <row r="4"/>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7"/>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4"/>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2"/>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6"/>
    <row r="27" ht="15" customHeight="1" s="25">
      <c r="B27" s="33" t="inlineStr">
        <is>
          <t>Not advice. The probability assumptions in the prompt are one investor’s and are meant to be argued with.</t>
        </is>
      </c>
    </row>
    <row r="28"/>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1"/>
    <row r="32">
      <c r="A32" s="24" t="inlineStr">
        <is>
          <t>Liquidity from / Liquidity to</t>
        </is>
      </c>
    </row>
    <row r="33">
      <c r="A33"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4"/>
    <row r="35">
      <c r="A35" s="24" t="inlineStr">
        <is>
          <t>You can leave most of this blank</t>
        </is>
      </c>
    </row>
    <row r="36">
      <c r="A36"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37"/>
    <row r="38">
      <c r="A38" s="24" t="inlineStr">
        <is>
          <t>Thesis</t>
        </is>
      </c>
    </row>
    <row r="39">
      <c r="A39" s="24" t="inlineStr">
        <is>
          <t>Why you did the deal, in your own words. This is yours and it is never pre-filled from anywhere, because somebody else's reasoning is not your reasoning. It shows on the deal card and never leaves your machine.</t>
        </is>
      </c>
    </row>
    <row r="40"/>
    <row r="41">
      <c r="A41" s="24" t="inlineStr">
        <is>
          <t>Fund or Single deal</t>
        </is>
      </c>
    </row>
    <row r="42">
      <c r="A42" s="24"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2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 width="18" customWidth="1" style="25" min="20" max="20"/>
  </cols>
  <sheetData>
    <row r="1" ht="16.15" customHeight="1" s="25">
      <c r="A1" s="34" t="inlineStr">
        <is>
          <t>Positions  —  fill in the yellow cells, one row per deal        TRACKER v1.6</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c r="S2" s="36" t="inlineStr">
        <is>
          <t>Thesis</t>
        </is>
      </c>
      <c r="T2" s="36" t="inlineStr">
        <is>
          <t>Fund or Single deal</t>
        </is>
      </c>
    </row>
    <row r="3" ht="15" customHeight="1" s="25">
      <c r="A3" s="37" t="inlineStr">
        <is>
          <t>Eephus Growth Fund I</t>
        </is>
      </c>
      <c r="B3" s="37" t="inlineStr">
        <is>
          <t>Income</t>
        </is>
      </c>
      <c r="C3" s="37" t="inlineStr">
        <is>
          <t>Real Estate</t>
        </is>
      </c>
      <c r="D3" s="38" t="n">
        <v>50000</v>
      </c>
      <c r="E3" s="38" t="n">
        <v>50000</v>
      </c>
      <c r="F3" s="39">
        <f>MAX(0,D3-E3)</f>
        <v/>
      </c>
      <c r="G3" s="45" t="n">
        <v>2025</v>
      </c>
      <c r="H3" s="45" t="n">
        <v>5</v>
      </c>
      <c r="I3" s="41" t="n">
        <v>0.06</v>
      </c>
      <c r="J3" s="42" t="n">
        <v>1.8</v>
      </c>
      <c r="K3" s="37" t="inlineStr">
        <is>
          <t>Medium</t>
        </is>
      </c>
      <c r="L3" s="43">
        <f>M3-MIN(3,MAX(1,ROUND(H3*0.3,0)))</f>
        <v/>
      </c>
      <c r="M3" s="43">
        <f>IF(O3&lt;&gt;"",O3,G3+H3)</f>
        <v/>
      </c>
      <c r="N3" s="43">
        <f>M3+2</f>
        <v/>
      </c>
      <c r="O3" s="44" t="n"/>
      <c r="P3" s="45" t="n"/>
      <c r="Q3" s="45" t="n">
        <v>4</v>
      </c>
      <c r="R3" s="45" t="n">
        <v>6</v>
      </c>
      <c r="S3" s="37" t="inlineStr">
        <is>
          <t>Income floor. Quarterly cash I can plan a year around, with an equity kicker on the sale.</t>
        </is>
      </c>
      <c r="T3" s="37" t="inlineStr">
        <is>
          <t>Fund</t>
        </is>
      </c>
    </row>
    <row r="4" ht="15" customHeight="1" s="25">
      <c r="A4" s="37" t="inlineStr">
        <is>
          <t>Eephus Growth Fund II</t>
        </is>
      </c>
      <c r="B4" s="37" t="inlineStr">
        <is>
          <t>Income</t>
        </is>
      </c>
      <c r="C4" s="37" t="inlineStr">
        <is>
          <t>Real Estate</t>
        </is>
      </c>
      <c r="D4" s="38" t="n">
        <v>50000</v>
      </c>
      <c r="E4" s="38" t="n">
        <v>50000</v>
      </c>
      <c r="F4" s="39">
        <f>MAX(0,D4-E4)</f>
        <v/>
      </c>
      <c r="G4" s="45" t="n">
        <v>2026</v>
      </c>
      <c r="H4" s="45" t="n">
        <v>5</v>
      </c>
      <c r="I4" s="41" t="n">
        <v>0.06</v>
      </c>
      <c r="J4" s="42" t="n">
        <v>1.75</v>
      </c>
      <c r="K4" s="37" t="inlineStr">
        <is>
          <t>Medium</t>
        </is>
      </c>
      <c r="L4" s="43">
        <f>M4-MIN(3,MAX(1,ROUND(H4*0.3,0)))</f>
        <v/>
      </c>
      <c r="M4" s="43">
        <f>IF(O4&lt;&gt;"",O4,G4+H4)</f>
        <v/>
      </c>
      <c r="N4" s="43">
        <f>M4+2</f>
        <v/>
      </c>
      <c r="O4" s="44" t="n"/>
      <c r="P4" s="45" t="n"/>
      <c r="Q4" s="45" t="n">
        <v>4</v>
      </c>
      <c r="R4" s="45" t="n">
        <v>6</v>
      </c>
      <c r="S4" s="37" t="n"/>
      <c r="T4" s="37" t="inlineStr">
        <is>
          <t>Fund</t>
        </is>
      </c>
    </row>
    <row r="5" ht="15" customHeight="1" s="25">
      <c r="A5" s="37" t="inlineStr">
        <is>
          <t>BlueBird Capital (Tranche 1)</t>
        </is>
      </c>
      <c r="B5" s="37" t="inlineStr">
        <is>
          <t>Income</t>
        </is>
      </c>
      <c r="C5" s="37" t="inlineStr">
        <is>
          <t>Private Equity</t>
        </is>
      </c>
      <c r="D5" s="38" t="n">
        <v>50000</v>
      </c>
      <c r="E5" s="38" t="n">
        <v>50000</v>
      </c>
      <c r="F5" s="39">
        <f>MAX(0,D5-E5)</f>
        <v/>
      </c>
      <c r="G5" s="45" t="n">
        <v>2025</v>
      </c>
      <c r="H5" s="45" t="n">
        <v>7</v>
      </c>
      <c r="I5" s="41" t="n">
        <v>0.15</v>
      </c>
      <c r="J5" s="42" t="n">
        <v>2.65</v>
      </c>
      <c r="K5" s="37" t="inlineStr">
        <is>
          <t>Medium</t>
        </is>
      </c>
      <c r="L5" s="43">
        <f>M5-MIN(3,MAX(1,ROUND(H5*0.3,0)))</f>
        <v/>
      </c>
      <c r="M5" s="43">
        <f>IF(O5&lt;&gt;"",O5,G5+H5)</f>
        <v/>
      </c>
      <c r="N5" s="43">
        <f>M5+2</f>
        <v/>
      </c>
      <c r="O5" s="44" t="n"/>
      <c r="P5" s="45" t="n">
        <v>1</v>
      </c>
      <c r="Q5" s="45" t="n"/>
      <c r="R5" s="45" t="n"/>
      <c r="S5" s="37" t="n"/>
      <c r="T5" s="37" t="inlineStr">
        <is>
          <t>Single deal</t>
        </is>
      </c>
    </row>
    <row r="6" ht="15" customHeight="1" s="25">
      <c r="A6" s="37" t="inlineStr">
        <is>
          <t>BlueBird Capital (Tranche 2)</t>
        </is>
      </c>
      <c r="B6" s="37" t="inlineStr">
        <is>
          <t>Income</t>
        </is>
      </c>
      <c r="C6" s="37" t="inlineStr">
        <is>
          <t>Private Equity</t>
        </is>
      </c>
      <c r="D6" s="38" t="n">
        <v>50000</v>
      </c>
      <c r="E6" s="38" t="n">
        <v>50000</v>
      </c>
      <c r="F6" s="39">
        <f>MAX(0,D6-E6)</f>
        <v/>
      </c>
      <c r="G6" s="45" t="n">
        <v>2026</v>
      </c>
      <c r="H6" s="45" t="n">
        <v>7</v>
      </c>
      <c r="I6" s="41" t="n">
        <v>0.15</v>
      </c>
      <c r="J6" s="42" t="n">
        <v>2.65</v>
      </c>
      <c r="K6" s="37" t="inlineStr">
        <is>
          <t>Medium</t>
        </is>
      </c>
      <c r="L6" s="43">
        <f>M6-MIN(3,MAX(1,ROUND(H6*0.3,0)))</f>
        <v/>
      </c>
      <c r="M6" s="43">
        <f>IF(O6&lt;&gt;"",O6,G6+H6)</f>
        <v/>
      </c>
      <c r="N6" s="43">
        <f>M6+2</f>
        <v/>
      </c>
      <c r="O6" s="44" t="n"/>
      <c r="P6" s="45" t="n">
        <v>1</v>
      </c>
      <c r="Q6" s="45" t="n"/>
      <c r="R6" s="45" t="n"/>
      <c r="S6" s="37" t="n"/>
      <c r="T6" s="37" t="inlineStr">
        <is>
          <t>Single deal</t>
        </is>
      </c>
    </row>
    <row r="7" ht="15" customHeight="1" s="25">
      <c r="A7" s="37" t="inlineStr">
        <is>
          <t>Asilia GC Fund</t>
        </is>
      </c>
      <c r="B7" s="37" t="inlineStr">
        <is>
          <t>Income</t>
        </is>
      </c>
      <c r="C7" s="37" t="inlineStr">
        <is>
          <t>Private Credit</t>
        </is>
      </c>
      <c r="D7" s="38" t="n">
        <v>100000</v>
      </c>
      <c r="E7" s="38" t="n">
        <v>19000</v>
      </c>
      <c r="F7" s="39">
        <f>MAX(0,D7-E7)</f>
        <v/>
      </c>
      <c r="G7" s="45" t="n">
        <v>2026</v>
      </c>
      <c r="H7" s="45" t="n">
        <v>8</v>
      </c>
      <c r="I7" s="41" t="n">
        <v>0.12</v>
      </c>
      <c r="J7" s="42" t="n">
        <v>3.27</v>
      </c>
      <c r="K7" s="37" t="inlineStr">
        <is>
          <t>High</t>
        </is>
      </c>
      <c r="L7" s="43">
        <f>M7-MIN(3,MAX(1,ROUND(H7*0.3,0)))</f>
        <v/>
      </c>
      <c r="M7" s="43">
        <f>IF(O7&lt;&gt;"",O7,G7+H7)</f>
        <v/>
      </c>
      <c r="N7" s="43">
        <f>M7+2</f>
        <v/>
      </c>
      <c r="O7" s="44" t="n"/>
      <c r="P7" s="45" t="n"/>
      <c r="Q7" s="45" t="n">
        <v>5</v>
      </c>
      <c r="R7" s="45" t="n">
        <v>8</v>
      </c>
      <c r="S7" s="37" t="inlineStr">
        <is>
          <t>Highest coupon in the book and a credit-tilted base case. Sized for the income, not the kicker.</t>
        </is>
      </c>
      <c r="T7" s="37" t="inlineStr">
        <is>
          <t>Fund</t>
        </is>
      </c>
    </row>
    <row r="8" ht="15" customHeight="1" s="25">
      <c r="A8" s="37" t="inlineStr">
        <is>
          <t>SpaceStation Fund</t>
        </is>
      </c>
      <c r="B8" s="37" t="inlineStr">
        <is>
          <t>Venture</t>
        </is>
      </c>
      <c r="C8" s="37" t="inlineStr">
        <is>
          <t>VC</t>
        </is>
      </c>
      <c r="D8" s="38" t="n">
        <v>250000</v>
      </c>
      <c r="E8" s="38" t="n">
        <v>75000</v>
      </c>
      <c r="F8" s="39">
        <f>MAX(0,D8-E8)</f>
        <v/>
      </c>
      <c r="G8" s="45" t="n">
        <v>2025</v>
      </c>
      <c r="H8" s="45" t="n">
        <v>10</v>
      </c>
      <c r="I8" s="41" t="n"/>
      <c r="J8" s="42" t="n">
        <v>3.96</v>
      </c>
      <c r="K8" s="37" t="inlineStr">
        <is>
          <t>Medium</t>
        </is>
      </c>
      <c r="L8" s="43">
        <f>M8-MIN(3,MAX(1,ROUND(H8*0.3,0)))</f>
        <v/>
      </c>
      <c r="M8" s="43">
        <f>IF(O8&lt;&gt;"",O8,G8+H8)</f>
        <v/>
      </c>
      <c r="N8" s="43">
        <f>M8+2</f>
        <v/>
      </c>
      <c r="O8" s="44" t="n"/>
      <c r="P8" s="45" t="n">
        <v>40</v>
      </c>
      <c r="Q8" s="45" t="n"/>
      <c r="R8" s="45" t="n"/>
      <c r="S8" s="37" t="inlineStr">
        <is>
          <t>The only thing I own that can return many times what I put in. Sized so it can go badly.</t>
        </is>
      </c>
      <c r="T8" s="37" t="inlineStr">
        <is>
          <t>Fund</t>
        </is>
      </c>
    </row>
    <row r="9" ht="15" customHeight="1" s="25">
      <c r="A9" s="37" t="inlineStr">
        <is>
          <t>Next Life Sciences - Plan A</t>
        </is>
      </c>
      <c r="B9" s="37" t="inlineStr">
        <is>
          <t>Venture</t>
        </is>
      </c>
      <c r="C9" s="37" t="inlineStr">
        <is>
          <t>VC</t>
        </is>
      </c>
      <c r="D9" s="38" t="n">
        <v>25000</v>
      </c>
      <c r="E9" s="38" t="n">
        <v>25000</v>
      </c>
      <c r="F9" s="39">
        <f>MAX(0,D9-E9)</f>
        <v/>
      </c>
      <c r="G9" s="45" t="n">
        <v>2025</v>
      </c>
      <c r="H9" s="45" t="n">
        <v>10</v>
      </c>
      <c r="I9" s="41" t="n"/>
      <c r="J9" s="42" t="n">
        <v>4</v>
      </c>
      <c r="K9" s="37" t="inlineStr">
        <is>
          <t>Medium</t>
        </is>
      </c>
      <c r="L9" s="43">
        <f>M9-MIN(3,MAX(1,ROUND(H9*0.3,0)))</f>
        <v/>
      </c>
      <c r="M9" s="43">
        <f>IF(O9&lt;&gt;"",O9,G9+H9)</f>
        <v/>
      </c>
      <c r="N9" s="43">
        <f>M9+2</f>
        <v/>
      </c>
      <c r="O9" s="44" t="n"/>
      <c r="P9" s="45" t="n">
        <v>1</v>
      </c>
      <c r="Q9" s="45" t="n"/>
      <c r="R9" s="45" t="n"/>
      <c r="S9" s="37" t="n"/>
      <c r="T9" s="37" t="inlineStr">
        <is>
          <t>Single deal</t>
        </is>
      </c>
    </row>
    <row r="10" ht="15" customHeight="1" s="25">
      <c r="A10" s="37" t="inlineStr">
        <is>
          <t>Aerolane</t>
        </is>
      </c>
      <c r="B10" s="37" t="inlineStr">
        <is>
          <t>Venture</t>
        </is>
      </c>
      <c r="C10" s="37" t="inlineStr">
        <is>
          <t>VC</t>
        </is>
      </c>
      <c r="D10" s="38" t="n">
        <v>25000</v>
      </c>
      <c r="E10" s="38" t="n">
        <v>25000</v>
      </c>
      <c r="F10" s="39">
        <f>MAX(0,D10-E10)</f>
        <v/>
      </c>
      <c r="G10" s="45" t="n">
        <v>2026</v>
      </c>
      <c r="H10" s="45" t="n">
        <v>10</v>
      </c>
      <c r="I10" s="41" t="n"/>
      <c r="J10" s="42" t="n">
        <v>10</v>
      </c>
      <c r="K10" s="37" t="inlineStr">
        <is>
          <t>Medium</t>
        </is>
      </c>
      <c r="L10" s="43">
        <f>M10-MIN(3,MAX(1,ROUND(H10*0.3,0)))</f>
        <v/>
      </c>
      <c r="M10" s="43">
        <f>IF(O10&lt;&gt;"",O10,G10+H10)</f>
        <v/>
      </c>
      <c r="N10" s="43">
        <f>M10+2</f>
        <v/>
      </c>
      <c r="O10" s="44" t="n"/>
      <c r="P10" s="45" t="n">
        <v>1</v>
      </c>
      <c r="Q10" s="45" t="n"/>
      <c r="R10" s="45" t="n"/>
      <c r="S10" s="37" t="n"/>
      <c r="T10" s="37" t="inlineStr">
        <is>
          <t>Single deal</t>
        </is>
      </c>
    </row>
    <row r="11" ht="15" customHeight="1" s="25">
      <c r="A11" s="37" t="inlineStr">
        <is>
          <t>Turbo Insurance</t>
        </is>
      </c>
      <c r="B11" s="37" t="inlineStr">
        <is>
          <t>Venture</t>
        </is>
      </c>
      <c r="C11" s="37" t="inlineStr">
        <is>
          <t>VC</t>
        </is>
      </c>
      <c r="D11" s="38" t="n">
        <v>20000</v>
      </c>
      <c r="E11" s="38" t="n">
        <v>20000</v>
      </c>
      <c r="F11" s="39">
        <f>MAX(0,D11-E11)</f>
        <v/>
      </c>
      <c r="G11" s="45" t="n">
        <v>2025</v>
      </c>
      <c r="H11" s="45" t="n">
        <v>5</v>
      </c>
      <c r="I11" s="41" t="n"/>
      <c r="J11" s="42" t="n">
        <v>5</v>
      </c>
      <c r="K11" s="37" t="inlineStr">
        <is>
          <t>High</t>
        </is>
      </c>
      <c r="L11" s="43">
        <f>M11-MIN(3,MAX(1,ROUND(H11*0.3,0)))</f>
        <v/>
      </c>
      <c r="M11" s="43">
        <f>IF(O11&lt;&gt;"",O11,G11+H11)</f>
        <v/>
      </c>
      <c r="N11" s="43">
        <f>M11+2</f>
        <v/>
      </c>
      <c r="O11" s="44" t="n"/>
      <c r="P11" s="45" t="n">
        <v>1</v>
      </c>
      <c r="Q11" s="45" t="n"/>
      <c r="R11" s="45" t="n"/>
      <c r="S11" s="37" t="n"/>
      <c r="T11" s="37" t="inlineStr">
        <is>
          <t>Single deal</t>
        </is>
      </c>
    </row>
    <row r="12" ht="15" customHeight="1" s="25">
      <c r="A12" s="37" t="inlineStr">
        <is>
          <t>Rainmaker SPV</t>
        </is>
      </c>
      <c r="B12" s="37" t="inlineStr">
        <is>
          <t>Venture</t>
        </is>
      </c>
      <c r="C12" s="37" t="inlineStr">
        <is>
          <t>VC</t>
        </is>
      </c>
      <c r="D12" s="38" t="n">
        <v>20000</v>
      </c>
      <c r="E12" s="38" t="n">
        <v>20000</v>
      </c>
      <c r="F12" s="39">
        <f>MAX(0,D12-E12)</f>
        <v/>
      </c>
      <c r="G12" s="45" t="n">
        <v>2026</v>
      </c>
      <c r="H12" s="45" t="n">
        <v>10</v>
      </c>
      <c r="I12" s="41" t="n"/>
      <c r="J12" s="42" t="n">
        <v>10</v>
      </c>
      <c r="K12" s="37" t="inlineStr">
        <is>
          <t>Low</t>
        </is>
      </c>
      <c r="L12" s="43">
        <f>M12-MIN(3,MAX(1,ROUND(H12*0.3,0)))</f>
        <v/>
      </c>
      <c r="M12" s="43">
        <f>IF(O12&lt;&gt;"",O12,G12+H12)</f>
        <v/>
      </c>
      <c r="N12" s="43">
        <f>M12+2</f>
        <v/>
      </c>
      <c r="O12" s="44" t="n"/>
      <c r="P12" s="45" t="n">
        <v>1</v>
      </c>
      <c r="Q12" s="45" t="n"/>
      <c r="R12" s="45" t="n"/>
      <c r="S12" s="37" t="n"/>
      <c r="T12" s="37" t="inlineStr">
        <is>
          <t>Single deal</t>
        </is>
      </c>
    </row>
    <row r="13" ht="15" customHeight="1" s="25">
      <c r="A13" s="37" t="inlineStr">
        <is>
          <t>AERTHLINGS</t>
        </is>
      </c>
      <c r="B13" s="37" t="inlineStr">
        <is>
          <t>Venture</t>
        </is>
      </c>
      <c r="C13" s="37" t="inlineStr">
        <is>
          <t>VC</t>
        </is>
      </c>
      <c r="D13" s="38" t="n">
        <v>10000</v>
      </c>
      <c r="E13" s="38" t="n">
        <v>10000</v>
      </c>
      <c r="F13" s="39">
        <f>MAX(0,D13-E13)</f>
        <v/>
      </c>
      <c r="G13" s="45" t="n">
        <v>2025</v>
      </c>
      <c r="H13" s="45" t="n">
        <v>10</v>
      </c>
      <c r="I13" s="41" t="n"/>
      <c r="J13" s="42" t="n">
        <v>10</v>
      </c>
      <c r="K13" s="37" t="inlineStr">
        <is>
          <t>Low</t>
        </is>
      </c>
      <c r="L13" s="43">
        <f>M13-MIN(3,MAX(1,ROUND(H13*0.3,0)))</f>
        <v/>
      </c>
      <c r="M13" s="43">
        <f>IF(O13&lt;&gt;"",O13,G13+H13)</f>
        <v/>
      </c>
      <c r="N13" s="43">
        <f>M13+2</f>
        <v/>
      </c>
      <c r="O13" s="44" t="n"/>
      <c r="P13" s="45" t="n">
        <v>1</v>
      </c>
      <c r="Q13" s="45" t="n"/>
      <c r="R13" s="45" t="n"/>
      <c r="S13" s="37" t="n"/>
      <c r="T13" s="37" t="inlineStr">
        <is>
          <t>Single deal</t>
        </is>
      </c>
    </row>
    <row r="14" ht="15" customHeight="1" s="25">
      <c r="A14" s="37" t="inlineStr">
        <is>
          <t>Rorra</t>
        </is>
      </c>
      <c r="B14" s="37" t="inlineStr">
        <is>
          <t>Venture</t>
        </is>
      </c>
      <c r="C14" s="37" t="inlineStr">
        <is>
          <t>VC</t>
        </is>
      </c>
      <c r="D14" s="38" t="n">
        <v>10000</v>
      </c>
      <c r="E14" s="38" t="n">
        <v>10000</v>
      </c>
      <c r="F14" s="39">
        <f>MAX(0,D14-E14)</f>
        <v/>
      </c>
      <c r="G14" s="45" t="n">
        <v>2026</v>
      </c>
      <c r="H14" s="45" t="n">
        <v>10</v>
      </c>
      <c r="I14" s="41" t="n"/>
      <c r="J14" s="42" t="n">
        <v>2.71</v>
      </c>
      <c r="K14" s="37" t="inlineStr">
        <is>
          <t>Medium</t>
        </is>
      </c>
      <c r="L14" s="43">
        <f>M14-MIN(3,MAX(1,ROUND(H14*0.3,0)))</f>
        <v/>
      </c>
      <c r="M14" s="43">
        <f>IF(O14&lt;&gt;"",O14,G14+H14)</f>
        <v/>
      </c>
      <c r="N14" s="43">
        <f>M14+2</f>
        <v/>
      </c>
      <c r="O14" s="44" t="n"/>
      <c r="P14" s="45" t="n">
        <v>1</v>
      </c>
      <c r="Q14" s="45" t="n"/>
      <c r="R14" s="45" t="n"/>
      <c r="S14" s="37" t="n"/>
      <c r="T14" s="37" t="inlineStr">
        <is>
          <t>Single deal</t>
        </is>
      </c>
    </row>
    <row r="15" ht="15" customHeight="1" s="25">
      <c r="A15" s="37" t="inlineStr">
        <is>
          <t>Telly TV</t>
        </is>
      </c>
      <c r="B15" s="37" t="inlineStr">
        <is>
          <t>Venture</t>
        </is>
      </c>
      <c r="C15" s="37" t="inlineStr">
        <is>
          <t>VC</t>
        </is>
      </c>
      <c r="D15" s="38" t="n">
        <v>5000</v>
      </c>
      <c r="E15" s="38" t="n">
        <v>5000</v>
      </c>
      <c r="F15" s="39">
        <f>MAX(0,D15-E15)</f>
        <v/>
      </c>
      <c r="G15" s="45" t="n">
        <v>2025</v>
      </c>
      <c r="H15" s="45" t="n">
        <v>10</v>
      </c>
      <c r="I15" s="41" t="n"/>
      <c r="J15" s="42" t="n">
        <v>1.78</v>
      </c>
      <c r="K15" s="37" t="inlineStr">
        <is>
          <t>Low</t>
        </is>
      </c>
      <c r="L15" s="43">
        <f>M15-MIN(3,MAX(1,ROUND(H15*0.3,0)))</f>
        <v/>
      </c>
      <c r="M15" s="43">
        <f>IF(O15&lt;&gt;"",O15,G15+H15)</f>
        <v/>
      </c>
      <c r="N15" s="43">
        <f>M15+2</f>
        <v/>
      </c>
      <c r="O15" s="44" t="n"/>
      <c r="P15" s="45" t="n">
        <v>1</v>
      </c>
      <c r="Q15" s="45" t="n"/>
      <c r="R15" s="45" t="n"/>
      <c r="S15" s="37" t="n"/>
      <c r="T15" s="37" t="inlineStr">
        <is>
          <t>Single deal</t>
        </is>
      </c>
    </row>
    <row r="16" ht="15" customHeight="1" s="25">
      <c r="A16" s="46" t="inlineStr">
        <is>
          <t>Total</t>
        </is>
      </c>
      <c r="D16" s="47">
        <f>SUM(D3:D15)</f>
        <v/>
      </c>
      <c r="E16" s="47">
        <f>SUM(E3:E15)</f>
        <v/>
      </c>
      <c r="F16" s="47">
        <f>SUM(F3:F15)</f>
        <v/>
      </c>
      <c r="P16" s="45" t="n"/>
      <c r="Q16" s="45" t="n"/>
      <c r="R16" s="45" t="n"/>
      <c r="S16" s="37" t="n"/>
      <c r="T16" s="37" t="inlineStr">
        <is>
          <t>Single deal</t>
        </is>
      </c>
    </row>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c r="S18" s="37" t="n"/>
      <c r="T18" s="37" t="inlineStr">
        <is>
          <t>Single deal</t>
        </is>
      </c>
    </row>
    <row r="20" ht="15" customHeight="1" s="25">
      <c r="A20" s="48" t="inlineStr">
        <is>
          <t>These rows are one investor’s real book, shared as a worked example. Replace them with your own.</t>
        </is>
      </c>
      <c r="P20" s="45" t="n">
        <v>1</v>
      </c>
      <c r="Q20" s="45" t="n"/>
      <c r="R20" s="45" t="n"/>
      <c r="S20" s="37" t="n"/>
      <c r="T20" s="37" t="inlineStr">
        <is>
          <t>Single deal</t>
        </is>
      </c>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2026-09-25T03:18:27Z</dcterms:modified>
  <cp:revision>0</cp:revision>
</cp:coreProperties>
</file>