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comments2.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vmlDrawing1.vml" ContentType="application/vnd.openxmlformats-officedocument.vmlDrawing"/>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 me" sheetId="1" state="visible" r:id="rId3"/>
    <sheet name="Positions" sheetId="2" state="visible" r:id="rId4"/>
    <sheet name="What you get back" sheetId="3" state="visible" r:id="rId5"/>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Exit Timing Calendar</author>
  </authors>
  <commentList>
    <comment ref="A2" authorId="0">
      <text>
        <r>
          <rPr>
            <sz val="10"/>
            <rFont val="Arial"/>
            <family val="2"/>
          </rPr>
          <t xml:space="preserve">What you call it. Anything you recognise.</t>
        </r>
      </text>
      <mc:AlternateContent>
        <mc:Choice Requires="v2">
          <commentPr autoFill="true" autoScale="false" colHidden="false" locked="false" rowHidden="false" textHAlign="justify" textVAlign="top">
            <anchor moveWithCells="false" sizeWithCells="false">
              <xdr:from>
                <xdr:col>0</xdr:col>
                <xdr:colOff>79</xdr:colOff>
                <xdr:row>0</xdr:row>
                <xdr:rowOff>4</xdr:rowOff>
              </xdr:from>
              <xdr:to>
                <xdr:col>1</xdr:col>
                <xdr:colOff>-47</xdr:colOff>
                <xdr:row>1</xdr:row>
                <xdr:rowOff>35</xdr:rowOff>
              </xdr:to>
            </anchor>
          </commentPr>
        </mc:Choice>
        <mc:Fallback/>
      </mc:AlternateContent>
    </comment>
    <comment ref="B2" authorId="0">
      <text>
        <r>
          <rPr>
            <sz val="10"/>
            <rFont val="Arial"/>
            <family val="2"/>
          </rPr>
          <t xml:space="preserve">Venture or Income. Income means it pays a contractual coupon.</t>
        </r>
      </text>
      <mc:AlternateContent>
        <mc:Choice Requires="v2">
          <commentPr autoFill="true" autoScale="false" colHidden="false" locked="false" rowHidden="false" textHAlign="justify" textVAlign="top">
            <anchor moveWithCells="false" sizeWithCells="false">
              <xdr:from>
                <xdr:col>0</xdr:col>
                <xdr:colOff>79</xdr:colOff>
                <xdr:row>0</xdr:row>
                <xdr:rowOff>4</xdr:rowOff>
              </xdr:from>
              <xdr:to>
                <xdr:col>1</xdr:col>
                <xdr:colOff>-47</xdr:colOff>
                <xdr:row>1</xdr:row>
                <xdr:rowOff>35</xdr:rowOff>
              </xdr:to>
            </anchor>
          </commentPr>
        </mc:Choice>
        <mc:Fallback/>
      </mc:AlternateContent>
    </comment>
    <comment ref="C2" authorId="0">
      <text>
        <r>
          <rPr>
            <sz val="10"/>
            <rFont val="Arial"/>
            <family val="2"/>
          </rPr>
          <t xml:space="preserve">VC, Real Estate, Private Equity, Private Credit.</t>
        </r>
      </text>
      <mc:AlternateContent>
        <mc:Choice Requires="v2">
          <commentPr autoFill="true" autoScale="false" colHidden="false" locked="false" rowHidden="false" textHAlign="justify" textVAlign="top">
            <anchor moveWithCells="false" sizeWithCells="false">
              <xdr:from>
                <xdr:col>0</xdr:col>
                <xdr:colOff>79</xdr:colOff>
                <xdr:row>0</xdr:row>
                <xdr:rowOff>4</xdr:rowOff>
              </xdr:from>
              <xdr:to>
                <xdr:col>1</xdr:col>
                <xdr:colOff>-47</xdr:colOff>
                <xdr:row>1</xdr:row>
                <xdr:rowOff>35</xdr:rowOff>
              </xdr:to>
            </anchor>
          </commentPr>
        </mc:Choice>
        <mc:Fallback/>
      </mc:AlternateContent>
    </comment>
    <comment ref="D2" authorId="0">
      <text>
        <r>
          <rPr>
            <sz val="10"/>
            <rFont val="Arial"/>
            <family val="2"/>
          </rPr>
          <t xml:space="preserve">The FULL amount you signed up for. This is the basis for the exit, not what you have funded.</t>
        </r>
      </text>
      <mc:AlternateContent>
        <mc:Choice Requires="v2">
          <commentPr autoFill="true" autoScale="false" colHidden="false" locked="false" rowHidden="false" textHAlign="justify" textVAlign="top">
            <anchor moveWithCells="false" sizeWithCells="false">
              <xdr:from>
                <xdr:col>0</xdr:col>
                <xdr:colOff>79</xdr:colOff>
                <xdr:row>0</xdr:row>
                <xdr:rowOff>4</xdr:rowOff>
              </xdr:from>
              <xdr:to>
                <xdr:col>1</xdr:col>
                <xdr:colOff>-47</xdr:colOff>
                <xdr:row>1</xdr:row>
                <xdr:rowOff>35</xdr:rowOff>
              </xdr:to>
            </anchor>
          </commentPr>
        </mc:Choice>
        <mc:Fallback/>
      </mc:AlternateContent>
    </comment>
    <comment ref="E2" authorId="0">
      <text>
        <r>
          <rPr>
            <sz val="10"/>
            <rFont val="Arial"/>
            <family val="2"/>
          </rPr>
          <t xml:space="preserve">Cash actually in so far.</t>
        </r>
      </text>
      <mc:AlternateContent>
        <mc:Choice Requires="v2">
          <commentPr autoFill="true" autoScale="false" colHidden="false" locked="false" rowHidden="false" textHAlign="justify" textVAlign="top">
            <anchor moveWithCells="false" sizeWithCells="false">
              <xdr:from>
                <xdr:col>0</xdr:col>
                <xdr:colOff>79</xdr:colOff>
                <xdr:row>0</xdr:row>
                <xdr:rowOff>4</xdr:rowOff>
              </xdr:from>
              <xdr:to>
                <xdr:col>1</xdr:col>
                <xdr:colOff>-47</xdr:colOff>
                <xdr:row>1</xdr:row>
                <xdr:rowOff>35</xdr:rowOff>
              </xdr:to>
            </anchor>
          </commentPr>
        </mc:Choice>
        <mc:Fallback/>
      </mc:AlternateContent>
    </comment>
    <comment ref="F2" authorId="0">
      <text>
        <r>
          <rPr>
            <sz val="10"/>
            <rFont val="Arial"/>
            <family val="2"/>
          </rPr>
          <t xml:space="preserve">Commitment less funded. This is a binding obligation and shows on the calendar as money going OUT.</t>
        </r>
      </text>
      <mc:AlternateContent>
        <mc:Choice Requires="v2">
          <commentPr autoFill="true" autoScale="false" colHidden="false" locked="false" rowHidden="false" textHAlign="justify" textVAlign="top">
            <anchor moveWithCells="false" sizeWithCells="false">
              <xdr:from>
                <xdr:col>0</xdr:col>
                <xdr:colOff>79</xdr:colOff>
                <xdr:row>0</xdr:row>
                <xdr:rowOff>4</xdr:rowOff>
              </xdr:from>
              <xdr:to>
                <xdr:col>1</xdr:col>
                <xdr:colOff>-47</xdr:colOff>
                <xdr:row>1</xdr:row>
                <xdr:rowOff>35</xdr:rowOff>
              </xdr:to>
            </anchor>
          </commentPr>
        </mc:Choice>
        <mc:Fallback/>
      </mc:AlternateContent>
    </comment>
    <comment ref="G2" authorId="0">
      <text>
        <r>
          <rPr>
            <sz val="10"/>
            <rFont val="Arial"/>
            <family val="2"/>
          </rPr>
          <t xml:space="preserve">The year you first funded it.</t>
        </r>
      </text>
      <mc:AlternateContent>
        <mc:Choice Requires="v2">
          <commentPr autoFill="true" autoScale="false" colHidden="false" locked="false" rowHidden="false" textHAlign="justify" textVAlign="top">
            <anchor moveWithCells="false" sizeWithCells="false">
              <xdr:from>
                <xdr:col>0</xdr:col>
                <xdr:colOff>79</xdr:colOff>
                <xdr:row>0</xdr:row>
                <xdr:rowOff>4</xdr:rowOff>
              </xdr:from>
              <xdr:to>
                <xdr:col>1</xdr:col>
                <xdr:colOff>-47</xdr:colOff>
                <xdr:row>1</xdr:row>
                <xdr:rowOff>35</xdr:rowOff>
              </xdr:to>
            </anchor>
          </commentPr>
        </mc:Choice>
        <mc:Fallback/>
      </mc:AlternateContent>
    </comment>
    <comment ref="H2" authorId="0">
      <text>
        <r>
          <rPr>
            <sz val="10"/>
            <rFont val="Arial"/>
            <family val="2"/>
          </rPr>
          <t xml:space="preserve">Stated fund life or hold period. 10 is typical for venture.</t>
        </r>
      </text>
      <mc:AlternateContent>
        <mc:Choice Requires="v2">
          <commentPr autoFill="true" autoScale="false" colHidden="false" locked="false" rowHidden="false" textHAlign="justify" textVAlign="top">
            <anchor moveWithCells="false" sizeWithCells="false">
              <xdr:from>
                <xdr:col>0</xdr:col>
                <xdr:colOff>79</xdr:colOff>
                <xdr:row>0</xdr:row>
                <xdr:rowOff>4</xdr:rowOff>
              </xdr:from>
              <xdr:to>
                <xdr:col>1</xdr:col>
                <xdr:colOff>-47</xdr:colOff>
                <xdr:row>1</xdr:row>
                <xdr:rowOff>35</xdr:rowOff>
              </xdr:to>
            </anchor>
          </commentPr>
        </mc:Choice>
        <mc:Fallback/>
      </mc:AlternateContent>
    </comment>
    <comment ref="I2" authorId="0">
      <text>
        <r>
          <rPr>
            <sz val="10"/>
            <rFont val="Arial"/>
            <family val="2"/>
          </rPr>
          <t xml:space="preserve">Preferred return or credit coupon, as a percentage. Leave blank for venture.</t>
        </r>
      </text>
      <mc:AlternateContent>
        <mc:Choice Requires="v2">
          <commentPr autoFill="true" autoScale="false" colHidden="false" locked="false" rowHidden="false" textHAlign="justify" textVAlign="top">
            <anchor moveWithCells="false" sizeWithCells="false">
              <xdr:from>
                <xdr:col>0</xdr:col>
                <xdr:colOff>79</xdr:colOff>
                <xdr:row>0</xdr:row>
                <xdr:rowOff>4</xdr:rowOff>
              </xdr:from>
              <xdr:to>
                <xdr:col>1</xdr:col>
                <xdr:colOff>-47</xdr:colOff>
                <xdr:row>1</xdr:row>
                <xdr:rowOff>35</xdr:rowOff>
              </xdr:to>
            </anchor>
          </commentPr>
        </mc:Choice>
        <mc:Fallback/>
      </mc:AlternateContent>
    </comment>
    <comment ref="J2" authorId="0">
      <text>
        <r>
          <rPr>
            <sz val="10"/>
            <rFont val="Arial"/>
            <family val="2"/>
          </rPr>
          <t xml:space="preserve">The multiple the sponsor projects. This goes in the WINNER branch, not the expected case.</t>
        </r>
      </text>
      <mc:AlternateContent>
        <mc:Choice Requires="v2">
          <commentPr autoFill="true" autoScale="false" colHidden="false" locked="false" rowHidden="false" textHAlign="justify" textVAlign="top">
            <anchor moveWithCells="false" sizeWithCells="false">
              <xdr:from>
                <xdr:col>0</xdr:col>
                <xdr:colOff>79</xdr:colOff>
                <xdr:row>0</xdr:row>
                <xdr:rowOff>4</xdr:rowOff>
              </xdr:from>
              <xdr:to>
                <xdr:col>1</xdr:col>
                <xdr:colOff>-47</xdr:colOff>
                <xdr:row>1</xdr:row>
                <xdr:rowOff>35</xdr:rowOff>
              </xdr:to>
            </anchor>
          </commentPr>
        </mc:Choice>
        <mc:Fallback/>
      </mc:AlternateContent>
    </comment>
    <comment ref="K2" authorId="0">
      <text>
        <r>
          <rPr>
            <sz val="10"/>
            <rFont val="Arial"/>
            <family val="2"/>
          </rPr>
          <t xml:space="preserve">Low, Medium or High. Shifts the probabilities, not the multiple.</t>
        </r>
      </text>
      <mc:AlternateContent>
        <mc:Choice Requires="v2">
          <commentPr autoFill="true" autoScale="false" colHidden="false" locked="false" rowHidden="false" textHAlign="justify" textVAlign="top">
            <anchor moveWithCells="false" sizeWithCells="false">
              <xdr:from>
                <xdr:col>0</xdr:col>
                <xdr:colOff>79</xdr:colOff>
                <xdr:row>0</xdr:row>
                <xdr:rowOff>4</xdr:rowOff>
              </xdr:from>
              <xdr:to>
                <xdr:col>1</xdr:col>
                <xdr:colOff>-47</xdr:colOff>
                <xdr:row>1</xdr:row>
                <xdr:rowOff>35</xdr:rowOff>
              </xdr:to>
            </anchor>
          </commentPr>
        </mc:Choice>
        <mc:Fallback/>
      </mc:AlternateContent>
    </comment>
    <comment ref="L2" authorId="0">
      <text>
        <r>
          <rPr>
            <sz val="10"/>
            <rFont val="Arial"/>
            <family val="2"/>
          </rPr>
          <t xml:space="preserve">Derived. Override it if you know better.</t>
        </r>
      </text>
      <mc:AlternateContent>
        <mc:Choice Requires="v2">
          <commentPr autoFill="true" autoScale="false" colHidden="false" locked="false" rowHidden="false" textHAlign="justify" textVAlign="top">
            <anchor moveWithCells="false" sizeWithCells="false">
              <xdr:from>
                <xdr:col>0</xdr:col>
                <xdr:colOff>79</xdr:colOff>
                <xdr:row>0</xdr:row>
                <xdr:rowOff>4</xdr:rowOff>
              </xdr:from>
              <xdr:to>
                <xdr:col>1</xdr:col>
                <xdr:colOff>-47</xdr:colOff>
                <xdr:row>1</xdr:row>
                <xdr:rowOff>35</xdr:rowOff>
              </xdr:to>
            </anchor>
          </commentPr>
        </mc:Choice>
        <mc:Fallback/>
      </mc:AlternateContent>
    </comment>
    <comment ref="M2" authorId="0">
      <text>
        <r>
          <rPr>
            <sz val="10"/>
            <rFont val="Arial"/>
            <family val="2"/>
          </rPr>
          <t xml:space="preserve">Derived from year funded plus hold.</t>
        </r>
      </text>
      <mc:AlternateContent>
        <mc:Choice Requires="v2">
          <commentPr autoFill="true" autoScale="false" colHidden="false" locked="false" rowHidden="false" textHAlign="justify" textVAlign="top">
            <anchor moveWithCells="false" sizeWithCells="false">
              <xdr:from>
                <xdr:col>0</xdr:col>
                <xdr:colOff>79</xdr:colOff>
                <xdr:row>0</xdr:row>
                <xdr:rowOff>4</xdr:rowOff>
              </xdr:from>
              <xdr:to>
                <xdr:col>1</xdr:col>
                <xdr:colOff>-47</xdr:colOff>
                <xdr:row>1</xdr:row>
                <xdr:rowOff>35</xdr:rowOff>
              </xdr:to>
            </anchor>
          </commentPr>
        </mc:Choice>
        <mc:Fallback/>
      </mc:AlternateContent>
    </comment>
    <comment ref="N2" authorId="0">
      <text>
        <r>
          <rPr>
            <sz val="10"/>
            <rFont val="Arial"/>
            <family val="2"/>
          </rPr>
          <t xml:space="preserve">Derived. Funds extend, so this is later than the stated term.</t>
        </r>
      </text>
      <mc:AlternateContent>
        <mc:Choice Requires="v2">
          <commentPr autoFill="true" autoScale="false" colHidden="false" locked="false" rowHidden="false" textHAlign="justify" textVAlign="top">
            <anchor moveWithCells="false" sizeWithCells="false">
              <xdr:from>
                <xdr:col>0</xdr:col>
                <xdr:colOff>79</xdr:colOff>
                <xdr:row>0</xdr:row>
                <xdr:rowOff>4</xdr:rowOff>
              </xdr:from>
              <xdr:to>
                <xdr:col>1</xdr:col>
                <xdr:colOff>-47</xdr:colOff>
                <xdr:row>1</xdr:row>
                <xdr:rowOff>35</xdr:rowOff>
              </xdr:to>
            </anchor>
          </commentPr>
        </mc:Choice>
        <mc:Fallback/>
      </mc:AlternateContent>
    </comment>
    <comment ref="O2" authorId="0">
      <text>
        <r>
          <rPr>
            <sz val="10"/>
            <rFont val="Arial"/>
            <family val="2"/>
          </rPr>
          <t xml:space="preserve">Optional. If you put a year here it wins over the derived one.</t>
        </r>
      </text>
      <mc:AlternateContent>
        <mc:Choice Requires="v2">
          <commentPr autoFill="true" autoScale="false" colHidden="false" locked="false" rowHidden="false" textHAlign="justify" textVAlign="top">
            <anchor moveWithCells="false" sizeWithCells="false">
              <xdr:from>
                <xdr:col>0</xdr:col>
                <xdr:colOff>79</xdr:colOff>
                <xdr:row>0</xdr:row>
                <xdr:rowOff>4</xdr:rowOff>
              </xdr:from>
              <xdr:to>
                <xdr:col>1</xdr:col>
                <xdr:colOff>-47</xdr:colOff>
                <xdr:row>1</xdr:row>
                <xdr:rowOff>35</xdr:rowOff>
              </xdr:to>
            </anchor>
          </commentPr>
        </mc:Choice>
        <mc:Fallback/>
      </mc:AlternateContent>
    </comment>
  </commentList>
</comments>
</file>

<file path=xl/sharedStrings.xml><?xml version="1.0" encoding="utf-8"?>
<sst xmlns="http://schemas.openxmlformats.org/spreadsheetml/2006/main" count="104" uniqueCount="74">
  <si>
    <t xml:space="preserve">Exit Timing Calendar</t>
  </si>
  <si>
    <t xml:space="preserve">Input tracker. Fill in one row per private position, then hand the sheet to your AI tool.</t>
  </si>
  <si>
    <t xml:space="preserve">What this is for</t>
  </si>
  <si>
    <t xml:space="preserve">Private positions do not tell you when they will pay. This tracker collects the few things you already know about each deal, and the Exit Timing Calendar prompt turns them into a year by year picture of when cash might arrive, and how confident you can be about it. It will not give you a single predicted exit date, because nobody has one.</t>
  </si>
  <si>
    <t xml:space="preserve">How to use it</t>
  </si>
  <si>
    <t xml:space="preserve">1.  Open the Positions tab. Replace the example rows with your own deals. They are one investor’s real book, left in so you can see the expected format.</t>
  </si>
  <si>
    <t xml:space="preserve">2.  Fill in the YELLOW cells only. The white ones are formulas and will look after themselves.</t>
  </si>
  <si>
    <t xml:space="preserve">3.  Save it, then attach the file to your AI tool along with the Exit Timing Calendar system prompt.</t>
  </si>
  <si>
    <t xml:space="preserve">4.  If your tracker already lives in the tool’s memory or knowledge base, just point the prompt at it instead.</t>
  </si>
  <si>
    <t xml:space="preserve">5.  Anything you leave blank, the prompt will ask you about rather than guess.</t>
  </si>
  <si>
    <t xml:space="preserve">The three things people get wrong</t>
  </si>
  <si>
    <t xml:space="preserve">Commitment, not funded.</t>
  </si>
  <si>
    <t xml:space="preserve">Run the exit off the FULL commitment. By the time an exit lands you will have funded all of it, so using funded-to-date understates the position. One book in this group was understated by 48% that way.</t>
  </si>
  <si>
    <t xml:space="preserve">The sponsor multiple is not the expected case.</t>
  </si>
  <si>
    <t xml:space="preserve">It is what the deal returns IF IT WORKS. It belongs in the winner branch, around a 10% chance for venture. Using it as the expected value is how these models end up fiction.</t>
  </si>
  <si>
    <t xml:space="preserve">A coupon is already inside the multiple.</t>
  </si>
  <si>
    <t xml:space="preserve">If a deal pays you a preferred return AND you exit it at the sponsor MOIC, you have counted that cash twice. Fill in the coupon column and the prompt handles the rest.</t>
  </si>
  <si>
    <t xml:space="preserve">Cell colours</t>
  </si>
  <si>
    <t xml:space="preserve">   Yellow fill  —  Fill this in.</t>
  </si>
  <si>
    <t xml:space="preserve">   White  —  A formula. Leave it alone.</t>
  </si>
  <si>
    <t xml:space="preserve">Not advice. The probability assumptions in the prompt are one investor’s and are meant to be argued with.</t>
  </si>
  <si>
    <t xml:space="preserve">Positions  —  fill in the yellow cells, one row per deal</t>
  </si>
  <si>
    <t xml:space="preserve">Deal name</t>
  </si>
  <si>
    <t xml:space="preserve">Sleeve</t>
  </si>
  <si>
    <t xml:space="preserve">Asset class</t>
  </si>
  <si>
    <t xml:space="preserve">Commitment</t>
  </si>
  <si>
    <t xml:space="preserve">Funded to date</t>
  </si>
  <si>
    <t xml:space="preserve">Uncalled</t>
  </si>
  <si>
    <t xml:space="preserve">Year funded</t>
  </si>
  <si>
    <t xml:space="preserve">Hold (yrs)</t>
  </si>
  <si>
    <t xml:space="preserve">Coupon %</t>
  </si>
  <si>
    <t xml:space="preserve">Sponsor MOIC</t>
  </si>
  <si>
    <t xml:space="preserve">Conviction</t>
  </si>
  <si>
    <t xml:space="preserve">Exit: earliest</t>
  </si>
  <si>
    <t xml:space="preserve">Exit: likely</t>
  </si>
  <si>
    <t xml:space="preserve">Exit: latest</t>
  </si>
  <si>
    <t xml:space="preserve">Override likely</t>
  </si>
  <si>
    <t xml:space="preserve">Eephus Growth Fund I</t>
  </si>
  <si>
    <t xml:space="preserve">Income</t>
  </si>
  <si>
    <t xml:space="preserve">Real Estate</t>
  </si>
  <si>
    <t xml:space="preserve">Medium</t>
  </si>
  <si>
    <t xml:space="preserve">Eephus Growth Fund II</t>
  </si>
  <si>
    <t xml:space="preserve">BlueBird Capital (Tranche 1)</t>
  </si>
  <si>
    <t xml:space="preserve">Private Equity</t>
  </si>
  <si>
    <t xml:space="preserve">BlueBird Capital (Tranche 2)</t>
  </si>
  <si>
    <t xml:space="preserve">Asilia GC Fund</t>
  </si>
  <si>
    <t xml:space="preserve">Private Credit</t>
  </si>
  <si>
    <t xml:space="preserve">High</t>
  </si>
  <si>
    <t xml:space="preserve">SpaceStation Fund</t>
  </si>
  <si>
    <t xml:space="preserve">Venture</t>
  </si>
  <si>
    <t xml:space="preserve">VC</t>
  </si>
  <si>
    <t xml:space="preserve">Next Life Sciences - Plan A</t>
  </si>
  <si>
    <t xml:space="preserve">Aerolane</t>
  </si>
  <si>
    <t xml:space="preserve">Turbo Insurance</t>
  </si>
  <si>
    <t xml:space="preserve">Rainmaker SPV</t>
  </si>
  <si>
    <t xml:space="preserve">Low</t>
  </si>
  <si>
    <t xml:space="preserve">AERTHLINGS</t>
  </si>
  <si>
    <t xml:space="preserve">Rorra</t>
  </si>
  <si>
    <t xml:space="preserve">Telly TV</t>
  </si>
  <si>
    <t xml:space="preserve">Total</t>
  </si>
  <si>
    <t xml:space="preserve">Blue text is something you typed. Black is a formula. Column F and the three exit-year columns work themselves out; put a year in Override likely only if you know better than the derived one.</t>
  </si>
  <si>
    <t xml:space="preserve">These rows are one investor’s real book, shared as a worked example. Replace them with your own.</t>
  </si>
  <si>
    <t xml:space="preserve">What the prompt gives you back</t>
  </si>
  <si>
    <t xml:space="preserve">Four panels. They answer different questions and two of them behave in opposite ways, which is worth knowing before you read them.</t>
  </si>
  <si>
    <t xml:space="preserve">1. What happens IN each year</t>
  </si>
  <si>
    <t xml:space="preserve">Preferred returns, capital calls going out, then the typical year, the odds of any cash at all, and a good run. Most years come back at zero, because each deal exits exactly once. Use this to find the thin years. IT CANNOT BE ADDED DOWN: each year is ranked separately, so the run in the middle in one year is a different run from the middle one in another.</t>
  </si>
  <si>
    <t xml:space="preserve">2. How much has arrived BY the end of each year</t>
  </si>
  <si>
    <t xml:space="preserve">The planning view, and the one to use if you want to know what to expect by a given year. Each simulated future is added up first and the futures are then ranked, so every figure is a real total that a real future reached. This one IS safe to read down.</t>
  </si>
  <si>
    <t xml:space="preserve">3. Lifetime totals</t>
  </si>
  <si>
    <t xml:space="preserve">Bad run, typical, average and good run, each with total received, profit against the FULL commitment, and the multiple. The last row of panel 2 should tie to this exactly. If it does not, something is wrong.</t>
  </si>
  <si>
    <t xml:space="preserve">4. Glossary</t>
  </si>
  <si>
    <t xml:space="preserve">Plain definitions of every column, including why the median matters more than the average when outcomes follow a power law.</t>
  </si>
  <si>
    <t xml:space="preserve">One check worth running</t>
  </si>
  <si>
    <t xml:space="preserve">Ask the tool whether it can actually execute code. If it cannot, it must not give you a median or percentiles, because producing those requires running the simulation. A tool that hands you a median without being able to compute one has invented it, and the error always runs optimistic.</t>
  </si>
</sst>
</file>

<file path=xl/styles.xml><?xml version="1.0" encoding="utf-8"?>
<styleSheet xmlns="http://schemas.openxmlformats.org/spreadsheetml/2006/main">
  <numFmts count="5">
    <numFmt numFmtId="164" formatCode="General"/>
    <numFmt numFmtId="165" formatCode="\$#,##0;&quot;($&quot;#,##0\);\-"/>
    <numFmt numFmtId="166" formatCode="0"/>
    <numFmt numFmtId="167" formatCode="0.0%"/>
    <numFmt numFmtId="168" formatCode="0.00\x"/>
  </numFmts>
  <fonts count="18">
    <font>
      <sz val="11"/>
      <color theme="1"/>
      <name val="Calibri"/>
      <family val="2"/>
      <charset val="1"/>
    </font>
    <font>
      <sz val="10"/>
      <name val="Arial"/>
      <family val="0"/>
    </font>
    <font>
      <sz val="10"/>
      <name val="Arial"/>
      <family val="0"/>
    </font>
    <font>
      <sz val="10"/>
      <name val="Arial"/>
      <family val="0"/>
    </font>
    <font>
      <b val="true"/>
      <sz val="20"/>
      <color rgb="FF1F3864"/>
      <name val="Arial"/>
      <family val="0"/>
      <charset val="1"/>
    </font>
    <font>
      <sz val="11"/>
      <color rgb="FF595959"/>
      <name val="Arial"/>
      <family val="0"/>
      <charset val="1"/>
    </font>
    <font>
      <b val="true"/>
      <sz val="13"/>
      <color rgb="FF1F3864"/>
      <name val="Arial"/>
      <family val="0"/>
      <charset val="1"/>
    </font>
    <font>
      <sz val="11"/>
      <color rgb="FF222222"/>
      <name val="Arial"/>
      <family val="0"/>
      <charset val="1"/>
    </font>
    <font>
      <b val="true"/>
      <sz val="11"/>
      <color rgb="FF9C4A1A"/>
      <name val="Arial"/>
      <family val="0"/>
      <charset val="1"/>
    </font>
    <font>
      <sz val="10"/>
      <color rgb="FF595959"/>
      <name val="Arial"/>
      <family val="0"/>
      <charset val="1"/>
    </font>
    <font>
      <b val="true"/>
      <sz val="9"/>
      <color rgb="FF1F3864"/>
      <name val="Arial"/>
      <family val="0"/>
      <charset val="1"/>
    </font>
    <font>
      <sz val="10"/>
      <color rgb="FF0000FF"/>
      <name val="Arial"/>
      <family val="0"/>
      <charset val="1"/>
    </font>
    <font>
      <sz val="10"/>
      <color rgb="FF222222"/>
      <name val="Arial"/>
      <family val="0"/>
      <charset val="1"/>
    </font>
    <font>
      <b val="true"/>
      <sz val="10"/>
      <color rgb="FF222222"/>
      <name val="Arial"/>
      <family val="0"/>
      <charset val="1"/>
    </font>
    <font>
      <i val="true"/>
      <sz val="9"/>
      <color rgb="FF595959"/>
      <name val="Arial"/>
      <family val="0"/>
      <charset val="1"/>
    </font>
    <font>
      <sz val="10"/>
      <name val="Arial"/>
      <family val="2"/>
    </font>
    <font>
      <b val="true"/>
      <sz val="16"/>
      <color rgb="FF1F3864"/>
      <name val="Arial"/>
      <family val="0"/>
      <charset val="1"/>
    </font>
    <font>
      <b val="true"/>
      <sz val="11"/>
      <color rgb="FF1F3864"/>
      <name val="Arial"/>
      <family val="0"/>
      <charset val="1"/>
    </font>
  </fonts>
  <fills count="4">
    <fill>
      <patternFill patternType="none"/>
    </fill>
    <fill>
      <patternFill patternType="gray125"/>
    </fill>
    <fill>
      <patternFill patternType="solid">
        <fgColor rgb="FFFFF2CC"/>
        <bgColor rgb="FFFFFFFF"/>
      </patternFill>
    </fill>
    <fill>
      <patternFill patternType="solid">
        <fgColor rgb="FFD9E2F3"/>
        <bgColor rgb="FFCCFFFF"/>
      </patternFill>
    </fill>
  </fills>
  <borders count="3">
    <border diagonalUp="false" diagonalDown="false">
      <left/>
      <right/>
      <top/>
      <bottom/>
      <diagonal/>
    </border>
    <border diagonalUp="false" diagonalDown="false">
      <left style="thin">
        <color rgb="FFBFC9D6"/>
      </left>
      <right style="thin">
        <color rgb="FFBFC9D6"/>
      </right>
      <top style="thin">
        <color rgb="FFBFC9D6"/>
      </top>
      <bottom style="thin">
        <color rgb="FFBFC9D6"/>
      </bottom>
      <diagonal/>
    </border>
    <border diagonalUp="false" diagonalDown="false">
      <left/>
      <right/>
      <top style="thin">
        <color rgb="FF7F7F7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bottom" textRotation="0" wrapText="true" indent="0" shrinkToFit="false"/>
      <protection locked="true" hidden="false"/>
    </xf>
    <xf numFmtId="164" fontId="11" fillId="2" borderId="1" xfId="0" applyFont="true" applyBorder="true" applyAlignment="false" applyProtection="false">
      <alignment horizontal="general" vertical="bottom" textRotation="0" wrapText="false" indent="0" shrinkToFit="false"/>
      <protection locked="true" hidden="false"/>
    </xf>
    <xf numFmtId="165" fontId="11" fillId="2" borderId="1" xfId="0" applyFont="true" applyBorder="true" applyAlignment="false" applyProtection="false">
      <alignment horizontal="general" vertical="bottom" textRotation="0" wrapText="false" indent="0" shrinkToFit="false"/>
      <protection locked="true" hidden="false"/>
    </xf>
    <xf numFmtId="165" fontId="12" fillId="2" borderId="1" xfId="0" applyFont="true" applyBorder="true" applyAlignment="false" applyProtection="false">
      <alignment horizontal="general" vertical="bottom" textRotation="0" wrapText="false" indent="0" shrinkToFit="false"/>
      <protection locked="true" hidden="false"/>
    </xf>
    <xf numFmtId="166" fontId="11" fillId="2" borderId="1" xfId="0" applyFont="true" applyBorder="true" applyAlignment="false" applyProtection="false">
      <alignment horizontal="general" vertical="bottom" textRotation="0" wrapText="false" indent="0" shrinkToFit="false"/>
      <protection locked="true" hidden="false"/>
    </xf>
    <xf numFmtId="167" fontId="11" fillId="2" borderId="1" xfId="0" applyFont="true" applyBorder="true" applyAlignment="false" applyProtection="false">
      <alignment horizontal="general" vertical="bottom" textRotation="0" wrapText="false" indent="0" shrinkToFit="false"/>
      <protection locked="true" hidden="false"/>
    </xf>
    <xf numFmtId="168" fontId="11" fillId="2" borderId="1" xfId="0" applyFont="true" applyBorder="true" applyAlignment="false" applyProtection="false">
      <alignment horizontal="general" vertical="bottom" textRotation="0" wrapText="false" indent="0" shrinkToFit="false"/>
      <protection locked="true" hidden="false"/>
    </xf>
    <xf numFmtId="166" fontId="12" fillId="0" borderId="1" xfId="0" applyFont="true" applyBorder="true" applyAlignment="true" applyProtection="false">
      <alignment horizontal="center" vertical="bottom" textRotation="0" wrapText="false" indent="0" shrinkToFit="false"/>
      <protection locked="true" hidden="false"/>
    </xf>
    <xf numFmtId="164" fontId="11" fillId="2" borderId="1" xfId="0" applyFont="true" applyBorder="true" applyAlignment="true" applyProtection="false">
      <alignment horizontal="center" vertical="bottom" textRotation="0" wrapText="false" indent="0" shrinkToFit="false"/>
      <protection locked="true" hidden="false"/>
    </xf>
    <xf numFmtId="164" fontId="13" fillId="0" borderId="2" xfId="0" applyFont="true" applyBorder="true" applyAlignment="false" applyProtection="false">
      <alignment horizontal="general" vertical="bottom" textRotation="0" wrapText="false" indent="0" shrinkToFit="false"/>
      <protection locked="true" hidden="false"/>
    </xf>
    <xf numFmtId="165" fontId="13" fillId="0" borderId="2"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C9D6"/>
      <rgbColor rgb="FF7F7F7F"/>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C4A1A"/>
      <rgbColor rgb="FF993366"/>
      <rgbColor rgb="FF333399"/>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3"/>
    <col collapsed="false" customWidth="true" hidden="false" outlineLevel="0" max="2" min="2" style="0" width="104"/>
  </cols>
  <sheetData>
    <row r="2" customFormat="false" ht="24.45" hidden="false" customHeight="false" outlineLevel="0" collapsed="false">
      <c r="B2" s="1" t="s">
        <v>0</v>
      </c>
    </row>
    <row r="3" customFormat="false" ht="18" hidden="false" customHeight="true" outlineLevel="0" collapsed="false">
      <c r="B3" s="2" t="s">
        <v>1</v>
      </c>
    </row>
    <row r="5" customFormat="false" ht="17" hidden="false" customHeight="false" outlineLevel="0" collapsed="false">
      <c r="B5" s="3" t="s">
        <v>2</v>
      </c>
    </row>
    <row r="6" customFormat="false" ht="45.75" hidden="false" customHeight="true" outlineLevel="0" collapsed="false">
      <c r="B6" s="4" t="s">
        <v>3</v>
      </c>
    </row>
    <row r="8" customFormat="false" ht="17" hidden="false" customHeight="false" outlineLevel="0" collapsed="false">
      <c r="B8" s="3" t="s">
        <v>4</v>
      </c>
    </row>
    <row r="9" customFormat="false" ht="30" hidden="false" customHeight="true" outlineLevel="0" collapsed="false">
      <c r="B9" s="4" t="s">
        <v>5</v>
      </c>
    </row>
    <row r="10" customFormat="false" ht="30" hidden="false" customHeight="true" outlineLevel="0" collapsed="false">
      <c r="B10" s="4" t="s">
        <v>6</v>
      </c>
    </row>
    <row r="11" customFormat="false" ht="30" hidden="false" customHeight="true" outlineLevel="0" collapsed="false">
      <c r="B11" s="4" t="s">
        <v>7</v>
      </c>
    </row>
    <row r="12" customFormat="false" ht="30" hidden="false" customHeight="true" outlineLevel="0" collapsed="false">
      <c r="B12" s="4" t="s">
        <v>8</v>
      </c>
    </row>
    <row r="13" customFormat="false" ht="30" hidden="false" customHeight="true" outlineLevel="0" collapsed="false">
      <c r="B13" s="4" t="s">
        <v>9</v>
      </c>
    </row>
    <row r="15" customFormat="false" ht="17" hidden="false" customHeight="false" outlineLevel="0" collapsed="false">
      <c r="B15" s="3" t="s">
        <v>10</v>
      </c>
    </row>
    <row r="16" customFormat="false" ht="15" hidden="false" customHeight="false" outlineLevel="0" collapsed="false">
      <c r="B16" s="5" t="s">
        <v>11</v>
      </c>
    </row>
    <row r="17" customFormat="false" ht="31.5" hidden="false" customHeight="true" outlineLevel="0" collapsed="false">
      <c r="B17" s="4" t="s">
        <v>12</v>
      </c>
    </row>
    <row r="18" customFormat="false" ht="15" hidden="false" customHeight="false" outlineLevel="0" collapsed="false">
      <c r="B18" s="5" t="s">
        <v>13</v>
      </c>
    </row>
    <row r="19" customFormat="false" ht="31.5" hidden="false" customHeight="true" outlineLevel="0" collapsed="false">
      <c r="B19" s="4" t="s">
        <v>14</v>
      </c>
    </row>
    <row r="20" customFormat="false" ht="15" hidden="false" customHeight="false" outlineLevel="0" collapsed="false">
      <c r="B20" s="5" t="s">
        <v>15</v>
      </c>
    </row>
    <row r="21" customFormat="false" ht="31.5" hidden="false" customHeight="true" outlineLevel="0" collapsed="false">
      <c r="B21" s="4" t="s">
        <v>16</v>
      </c>
    </row>
    <row r="23" customFormat="false" ht="17" hidden="false" customHeight="false" outlineLevel="0" collapsed="false">
      <c r="B23" s="3" t="s">
        <v>17</v>
      </c>
    </row>
    <row r="24" customFormat="false" ht="15" hidden="false" customHeight="false" outlineLevel="0" collapsed="false">
      <c r="B24" s="6" t="s">
        <v>18</v>
      </c>
    </row>
    <row r="25" customFormat="false" ht="15" hidden="false" customHeight="false" outlineLevel="0" collapsed="false">
      <c r="B25" s="7" t="s">
        <v>19</v>
      </c>
    </row>
    <row r="27" customFormat="false" ht="15" hidden="false" customHeight="false" outlineLevel="0" collapsed="false">
      <c r="B27" s="8" t="s">
        <v>20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453125" defaultRowHeight="15" customHeight="false" zeroHeight="false" outlineLevelRow="0" outlineLevelCol="0"/>
  <cols>
    <col collapsed="false" customWidth="true" hidden="false" outlineLevel="0" max="1" min="1" style="0" width="30"/>
    <col collapsed="false" customWidth="true" hidden="false" outlineLevel="0" max="2" min="2" style="0" width="11"/>
    <col collapsed="false" customWidth="true" hidden="false" outlineLevel="0" max="3" min="3" style="0" width="16"/>
    <col collapsed="false" customWidth="true" hidden="false" outlineLevel="0" max="5" min="4" style="0" width="14"/>
    <col collapsed="false" customWidth="true" hidden="false" outlineLevel="0" max="6" min="6" style="0" width="13"/>
    <col collapsed="false" customWidth="true" hidden="false" outlineLevel="0" max="7" min="7" style="0" width="12"/>
    <col collapsed="false" customWidth="true" hidden="false" outlineLevel="0" max="9" min="8" style="0" width="11"/>
    <col collapsed="false" customWidth="true" hidden="false" outlineLevel="0" max="10" min="10" style="0" width="13"/>
    <col collapsed="false" customWidth="true" hidden="false" outlineLevel="0" max="11" min="11" style="0" width="12"/>
    <col collapsed="false" customWidth="true" hidden="false" outlineLevel="0" max="14" min="12" style="0" width="13"/>
    <col collapsed="false" customWidth="true" hidden="false" outlineLevel="0" max="15" min="15" style="0" width="14"/>
  </cols>
  <sheetData>
    <row r="1" customFormat="false" ht="16.15" hidden="false" customHeight="false" outlineLevel="0" collapsed="false">
      <c r="A1" s="9" t="s">
        <v>21</v>
      </c>
    </row>
    <row r="2" customFormat="false" ht="30" hidden="false" customHeight="true" outlineLevel="0" collapsed="false">
      <c r="A2" s="10" t="s">
        <v>22</v>
      </c>
      <c r="B2" s="10" t="s">
        <v>23</v>
      </c>
      <c r="C2" s="10" t="s">
        <v>24</v>
      </c>
      <c r="D2" s="10" t="s">
        <v>25</v>
      </c>
      <c r="E2" s="10" t="s">
        <v>26</v>
      </c>
      <c r="F2" s="10" t="s">
        <v>27</v>
      </c>
      <c r="G2" s="10" t="s">
        <v>28</v>
      </c>
      <c r="H2" s="10" t="s">
        <v>29</v>
      </c>
      <c r="I2" s="10" t="s">
        <v>30</v>
      </c>
      <c r="J2" s="10" t="s">
        <v>31</v>
      </c>
      <c r="K2" s="10" t="s">
        <v>32</v>
      </c>
      <c r="L2" s="10" t="s">
        <v>33</v>
      </c>
      <c r="M2" s="10" t="s">
        <v>34</v>
      </c>
      <c r="N2" s="10" t="s">
        <v>35</v>
      </c>
      <c r="O2" s="10" t="s">
        <v>36</v>
      </c>
    </row>
    <row r="3" customFormat="false" ht="15" hidden="false" customHeight="false" outlineLevel="0" collapsed="false">
      <c r="A3" s="11" t="s">
        <v>37</v>
      </c>
      <c r="B3" s="11" t="s">
        <v>38</v>
      </c>
      <c r="C3" s="11" t="s">
        <v>39</v>
      </c>
      <c r="D3" s="12" t="n">
        <v>50000</v>
      </c>
      <c r="E3" s="12" t="n">
        <v>50000</v>
      </c>
      <c r="F3" s="13" t="n">
        <f aca="false">MAX(0,D3-E3)</f>
        <v>0</v>
      </c>
      <c r="G3" s="14" t="n">
        <v>2025</v>
      </c>
      <c r="H3" s="14" t="n">
        <v>5</v>
      </c>
      <c r="I3" s="15" t="n">
        <v>0.06</v>
      </c>
      <c r="J3" s="16" t="n">
        <v>1.8</v>
      </c>
      <c r="K3" s="11" t="s">
        <v>40</v>
      </c>
      <c r="L3" s="17" t="n">
        <f aca="false">M3-MIN(3,MAX(1,ROUND(H3*0.3,0)))</f>
        <v>2028</v>
      </c>
      <c r="M3" s="17" t="n">
        <f aca="false">IF(O3&lt;&gt;"",O3,G3+H3)</f>
        <v>2030</v>
      </c>
      <c r="N3" s="17" t="n">
        <f aca="false">M3+2</f>
        <v>2032</v>
      </c>
      <c r="O3" s="18"/>
    </row>
    <row r="4" customFormat="false" ht="15" hidden="false" customHeight="false" outlineLevel="0" collapsed="false">
      <c r="A4" s="11" t="s">
        <v>41</v>
      </c>
      <c r="B4" s="11" t="s">
        <v>38</v>
      </c>
      <c r="C4" s="11" t="s">
        <v>39</v>
      </c>
      <c r="D4" s="12" t="n">
        <v>50000</v>
      </c>
      <c r="E4" s="12" t="n">
        <v>50000</v>
      </c>
      <c r="F4" s="13" t="n">
        <f aca="false">MAX(0,D4-E4)</f>
        <v>0</v>
      </c>
      <c r="G4" s="14" t="n">
        <v>2026</v>
      </c>
      <c r="H4" s="14" t="n">
        <v>5</v>
      </c>
      <c r="I4" s="15" t="n">
        <v>0.06</v>
      </c>
      <c r="J4" s="16" t="n">
        <v>1.75</v>
      </c>
      <c r="K4" s="11" t="s">
        <v>40</v>
      </c>
      <c r="L4" s="17" t="n">
        <f aca="false">M4-MIN(3,MAX(1,ROUND(H4*0.3,0)))</f>
        <v>2029</v>
      </c>
      <c r="M4" s="17" t="n">
        <f aca="false">IF(O4&lt;&gt;"",O4,G4+H4)</f>
        <v>2031</v>
      </c>
      <c r="N4" s="17" t="n">
        <f aca="false">M4+2</f>
        <v>2033</v>
      </c>
      <c r="O4" s="18"/>
    </row>
    <row r="5" customFormat="false" ht="15" hidden="false" customHeight="false" outlineLevel="0" collapsed="false">
      <c r="A5" s="11" t="s">
        <v>42</v>
      </c>
      <c r="B5" s="11" t="s">
        <v>38</v>
      </c>
      <c r="C5" s="11" t="s">
        <v>43</v>
      </c>
      <c r="D5" s="12" t="n">
        <v>50000</v>
      </c>
      <c r="E5" s="12" t="n">
        <v>50000</v>
      </c>
      <c r="F5" s="13" t="n">
        <f aca="false">MAX(0,D5-E5)</f>
        <v>0</v>
      </c>
      <c r="G5" s="14" t="n">
        <v>2025</v>
      </c>
      <c r="H5" s="14" t="n">
        <v>7</v>
      </c>
      <c r="I5" s="15" t="n">
        <v>0.15</v>
      </c>
      <c r="J5" s="16" t="n">
        <v>2.65</v>
      </c>
      <c r="K5" s="11" t="s">
        <v>40</v>
      </c>
      <c r="L5" s="17" t="n">
        <f aca="false">M5-MIN(3,MAX(1,ROUND(H5*0.3,0)))</f>
        <v>2030</v>
      </c>
      <c r="M5" s="17" t="n">
        <f aca="false">IF(O5&lt;&gt;"",O5,G5+H5)</f>
        <v>2032</v>
      </c>
      <c r="N5" s="17" t="n">
        <f aca="false">M5+2</f>
        <v>2034</v>
      </c>
      <c r="O5" s="18"/>
    </row>
    <row r="6" customFormat="false" ht="15" hidden="false" customHeight="false" outlineLevel="0" collapsed="false">
      <c r="A6" s="11" t="s">
        <v>44</v>
      </c>
      <c r="B6" s="11" t="s">
        <v>38</v>
      </c>
      <c r="C6" s="11" t="s">
        <v>43</v>
      </c>
      <c r="D6" s="12" t="n">
        <v>50000</v>
      </c>
      <c r="E6" s="12" t="n">
        <v>50000</v>
      </c>
      <c r="F6" s="13" t="n">
        <f aca="false">MAX(0,D6-E6)</f>
        <v>0</v>
      </c>
      <c r="G6" s="14" t="n">
        <v>2026</v>
      </c>
      <c r="H6" s="14" t="n">
        <v>7</v>
      </c>
      <c r="I6" s="15" t="n">
        <v>0.15</v>
      </c>
      <c r="J6" s="16" t="n">
        <v>2.65</v>
      </c>
      <c r="K6" s="11" t="s">
        <v>40</v>
      </c>
      <c r="L6" s="17" t="n">
        <f aca="false">M6-MIN(3,MAX(1,ROUND(H6*0.3,0)))</f>
        <v>2031</v>
      </c>
      <c r="M6" s="17" t="n">
        <f aca="false">IF(O6&lt;&gt;"",O6,G6+H6)</f>
        <v>2033</v>
      </c>
      <c r="N6" s="17" t="n">
        <f aca="false">M6+2</f>
        <v>2035</v>
      </c>
      <c r="O6" s="18"/>
    </row>
    <row r="7" customFormat="false" ht="15" hidden="false" customHeight="false" outlineLevel="0" collapsed="false">
      <c r="A7" s="11" t="s">
        <v>45</v>
      </c>
      <c r="B7" s="11" t="s">
        <v>38</v>
      </c>
      <c r="C7" s="11" t="s">
        <v>46</v>
      </c>
      <c r="D7" s="12" t="n">
        <v>100000</v>
      </c>
      <c r="E7" s="12" t="n">
        <v>19000</v>
      </c>
      <c r="F7" s="13" t="n">
        <f aca="false">MAX(0,D7-E7)</f>
        <v>81000</v>
      </c>
      <c r="G7" s="14" t="n">
        <v>2026</v>
      </c>
      <c r="H7" s="14" t="n">
        <v>8</v>
      </c>
      <c r="I7" s="15" t="n">
        <v>0.12</v>
      </c>
      <c r="J7" s="16" t="n">
        <v>3.27</v>
      </c>
      <c r="K7" s="11" t="s">
        <v>47</v>
      </c>
      <c r="L7" s="17" t="n">
        <f aca="false">M7-MIN(3,MAX(1,ROUND(H7*0.3,0)))</f>
        <v>2032</v>
      </c>
      <c r="M7" s="17" t="n">
        <f aca="false">IF(O7&lt;&gt;"",O7,G7+H7)</f>
        <v>2034</v>
      </c>
      <c r="N7" s="17" t="n">
        <f aca="false">M7+2</f>
        <v>2036</v>
      </c>
      <c r="O7" s="18"/>
    </row>
    <row r="8" customFormat="false" ht="15" hidden="false" customHeight="false" outlineLevel="0" collapsed="false">
      <c r="A8" s="11" t="s">
        <v>48</v>
      </c>
      <c r="B8" s="11" t="s">
        <v>49</v>
      </c>
      <c r="C8" s="11" t="s">
        <v>50</v>
      </c>
      <c r="D8" s="12" t="n">
        <v>250000</v>
      </c>
      <c r="E8" s="12" t="n">
        <v>75000</v>
      </c>
      <c r="F8" s="13" t="n">
        <f aca="false">MAX(0,D8-E8)</f>
        <v>175000</v>
      </c>
      <c r="G8" s="14" t="n">
        <v>2025</v>
      </c>
      <c r="H8" s="14" t="n">
        <v>10</v>
      </c>
      <c r="I8" s="15"/>
      <c r="J8" s="16" t="n">
        <v>3.96</v>
      </c>
      <c r="K8" s="11" t="s">
        <v>40</v>
      </c>
      <c r="L8" s="17" t="n">
        <f aca="false">M8-MIN(3,MAX(1,ROUND(H8*0.3,0)))</f>
        <v>2032</v>
      </c>
      <c r="M8" s="17" t="n">
        <f aca="false">IF(O8&lt;&gt;"",O8,G8+H8)</f>
        <v>2035</v>
      </c>
      <c r="N8" s="17" t="n">
        <f aca="false">M8+2</f>
        <v>2037</v>
      </c>
      <c r="O8" s="18"/>
    </row>
    <row r="9" customFormat="false" ht="15" hidden="false" customHeight="false" outlineLevel="0" collapsed="false">
      <c r="A9" s="11" t="s">
        <v>51</v>
      </c>
      <c r="B9" s="11" t="s">
        <v>49</v>
      </c>
      <c r="C9" s="11" t="s">
        <v>50</v>
      </c>
      <c r="D9" s="12" t="n">
        <v>25000</v>
      </c>
      <c r="E9" s="12" t="n">
        <v>25000</v>
      </c>
      <c r="F9" s="13" t="n">
        <f aca="false">MAX(0,D9-E9)</f>
        <v>0</v>
      </c>
      <c r="G9" s="14" t="n">
        <v>2025</v>
      </c>
      <c r="H9" s="14" t="n">
        <v>10</v>
      </c>
      <c r="I9" s="15"/>
      <c r="J9" s="16" t="n">
        <v>4</v>
      </c>
      <c r="K9" s="11" t="s">
        <v>40</v>
      </c>
      <c r="L9" s="17" t="n">
        <f aca="false">M9-MIN(3,MAX(1,ROUND(H9*0.3,0)))</f>
        <v>2032</v>
      </c>
      <c r="M9" s="17" t="n">
        <f aca="false">IF(O9&lt;&gt;"",O9,G9+H9)</f>
        <v>2035</v>
      </c>
      <c r="N9" s="17" t="n">
        <f aca="false">M9+2</f>
        <v>2037</v>
      </c>
      <c r="O9" s="18"/>
    </row>
    <row r="10" customFormat="false" ht="15" hidden="false" customHeight="false" outlineLevel="0" collapsed="false">
      <c r="A10" s="11" t="s">
        <v>52</v>
      </c>
      <c r="B10" s="11" t="s">
        <v>49</v>
      </c>
      <c r="C10" s="11" t="s">
        <v>50</v>
      </c>
      <c r="D10" s="12" t="n">
        <v>25000</v>
      </c>
      <c r="E10" s="12" t="n">
        <v>25000</v>
      </c>
      <c r="F10" s="13" t="n">
        <f aca="false">MAX(0,D10-E10)</f>
        <v>0</v>
      </c>
      <c r="G10" s="14" t="n">
        <v>2026</v>
      </c>
      <c r="H10" s="14" t="n">
        <v>10</v>
      </c>
      <c r="I10" s="15"/>
      <c r="J10" s="16" t="n">
        <v>10</v>
      </c>
      <c r="K10" s="11" t="s">
        <v>40</v>
      </c>
      <c r="L10" s="17" t="n">
        <f aca="false">M10-MIN(3,MAX(1,ROUND(H10*0.3,0)))</f>
        <v>2033</v>
      </c>
      <c r="M10" s="17" t="n">
        <f aca="false">IF(O10&lt;&gt;"",O10,G10+H10)</f>
        <v>2036</v>
      </c>
      <c r="N10" s="17" t="n">
        <f aca="false">M10+2</f>
        <v>2038</v>
      </c>
      <c r="O10" s="18"/>
    </row>
    <row r="11" customFormat="false" ht="15" hidden="false" customHeight="false" outlineLevel="0" collapsed="false">
      <c r="A11" s="11" t="s">
        <v>53</v>
      </c>
      <c r="B11" s="11" t="s">
        <v>49</v>
      </c>
      <c r="C11" s="11" t="s">
        <v>50</v>
      </c>
      <c r="D11" s="12" t="n">
        <v>20000</v>
      </c>
      <c r="E11" s="12" t="n">
        <v>20000</v>
      </c>
      <c r="F11" s="13" t="n">
        <f aca="false">MAX(0,D11-E11)</f>
        <v>0</v>
      </c>
      <c r="G11" s="14" t="n">
        <v>2025</v>
      </c>
      <c r="H11" s="14" t="n">
        <v>5</v>
      </c>
      <c r="I11" s="15"/>
      <c r="J11" s="16" t="n">
        <v>5</v>
      </c>
      <c r="K11" s="11" t="s">
        <v>47</v>
      </c>
      <c r="L11" s="17" t="n">
        <f aca="false">M11-MIN(3,MAX(1,ROUND(H11*0.3,0)))</f>
        <v>2028</v>
      </c>
      <c r="M11" s="17" t="n">
        <f aca="false">IF(O11&lt;&gt;"",O11,G11+H11)</f>
        <v>2030</v>
      </c>
      <c r="N11" s="17" t="n">
        <f aca="false">M11+2</f>
        <v>2032</v>
      </c>
      <c r="O11" s="18"/>
    </row>
    <row r="12" customFormat="false" ht="15" hidden="false" customHeight="false" outlineLevel="0" collapsed="false">
      <c r="A12" s="11" t="s">
        <v>54</v>
      </c>
      <c r="B12" s="11" t="s">
        <v>49</v>
      </c>
      <c r="C12" s="11" t="s">
        <v>50</v>
      </c>
      <c r="D12" s="12" t="n">
        <v>20000</v>
      </c>
      <c r="E12" s="12" t="n">
        <v>20000</v>
      </c>
      <c r="F12" s="13" t="n">
        <f aca="false">MAX(0,D12-E12)</f>
        <v>0</v>
      </c>
      <c r="G12" s="14" t="n">
        <v>2026</v>
      </c>
      <c r="H12" s="14" t="n">
        <v>10</v>
      </c>
      <c r="I12" s="15"/>
      <c r="J12" s="16" t="n">
        <v>10</v>
      </c>
      <c r="K12" s="11" t="s">
        <v>55</v>
      </c>
      <c r="L12" s="17" t="n">
        <f aca="false">M12-MIN(3,MAX(1,ROUND(H12*0.3,0)))</f>
        <v>2033</v>
      </c>
      <c r="M12" s="17" t="n">
        <f aca="false">IF(O12&lt;&gt;"",O12,G12+H12)</f>
        <v>2036</v>
      </c>
      <c r="N12" s="17" t="n">
        <f aca="false">M12+2</f>
        <v>2038</v>
      </c>
      <c r="O12" s="18"/>
    </row>
    <row r="13" customFormat="false" ht="15" hidden="false" customHeight="false" outlineLevel="0" collapsed="false">
      <c r="A13" s="11" t="s">
        <v>56</v>
      </c>
      <c r="B13" s="11" t="s">
        <v>49</v>
      </c>
      <c r="C13" s="11" t="s">
        <v>50</v>
      </c>
      <c r="D13" s="12" t="n">
        <v>10000</v>
      </c>
      <c r="E13" s="12" t="n">
        <v>10000</v>
      </c>
      <c r="F13" s="13" t="n">
        <f aca="false">MAX(0,D13-E13)</f>
        <v>0</v>
      </c>
      <c r="G13" s="14" t="n">
        <v>2025</v>
      </c>
      <c r="H13" s="14" t="n">
        <v>10</v>
      </c>
      <c r="I13" s="15"/>
      <c r="J13" s="16" t="n">
        <v>10</v>
      </c>
      <c r="K13" s="11" t="s">
        <v>55</v>
      </c>
      <c r="L13" s="17" t="n">
        <f aca="false">M13-MIN(3,MAX(1,ROUND(H13*0.3,0)))</f>
        <v>2032</v>
      </c>
      <c r="M13" s="17" t="n">
        <f aca="false">IF(O13&lt;&gt;"",O13,G13+H13)</f>
        <v>2035</v>
      </c>
      <c r="N13" s="17" t="n">
        <f aca="false">M13+2</f>
        <v>2037</v>
      </c>
      <c r="O13" s="18"/>
    </row>
    <row r="14" customFormat="false" ht="15" hidden="false" customHeight="false" outlineLevel="0" collapsed="false">
      <c r="A14" s="11" t="s">
        <v>57</v>
      </c>
      <c r="B14" s="11" t="s">
        <v>49</v>
      </c>
      <c r="C14" s="11" t="s">
        <v>50</v>
      </c>
      <c r="D14" s="12" t="n">
        <v>10000</v>
      </c>
      <c r="E14" s="12" t="n">
        <v>10000</v>
      </c>
      <c r="F14" s="13" t="n">
        <f aca="false">MAX(0,D14-E14)</f>
        <v>0</v>
      </c>
      <c r="G14" s="14" t="n">
        <v>2026</v>
      </c>
      <c r="H14" s="14" t="n">
        <v>10</v>
      </c>
      <c r="I14" s="15"/>
      <c r="J14" s="16" t="n">
        <v>2.71</v>
      </c>
      <c r="K14" s="11" t="s">
        <v>40</v>
      </c>
      <c r="L14" s="17" t="n">
        <f aca="false">M14-MIN(3,MAX(1,ROUND(H14*0.3,0)))</f>
        <v>2033</v>
      </c>
      <c r="M14" s="17" t="n">
        <f aca="false">IF(O14&lt;&gt;"",O14,G14+H14)</f>
        <v>2036</v>
      </c>
      <c r="N14" s="17" t="n">
        <f aca="false">M14+2</f>
        <v>2038</v>
      </c>
      <c r="O14" s="18"/>
    </row>
    <row r="15" customFormat="false" ht="15" hidden="false" customHeight="false" outlineLevel="0" collapsed="false">
      <c r="A15" s="11" t="s">
        <v>58</v>
      </c>
      <c r="B15" s="11" t="s">
        <v>49</v>
      </c>
      <c r="C15" s="11" t="s">
        <v>50</v>
      </c>
      <c r="D15" s="12" t="n">
        <v>5000</v>
      </c>
      <c r="E15" s="12" t="n">
        <v>5000</v>
      </c>
      <c r="F15" s="13" t="n">
        <f aca="false">MAX(0,D15-E15)</f>
        <v>0</v>
      </c>
      <c r="G15" s="14" t="n">
        <v>2025</v>
      </c>
      <c r="H15" s="14" t="n">
        <v>10</v>
      </c>
      <c r="I15" s="15"/>
      <c r="J15" s="16" t="n">
        <v>1.78</v>
      </c>
      <c r="K15" s="11" t="s">
        <v>55</v>
      </c>
      <c r="L15" s="17" t="n">
        <f aca="false">M15-MIN(3,MAX(1,ROUND(H15*0.3,0)))</f>
        <v>2032</v>
      </c>
      <c r="M15" s="17" t="n">
        <f aca="false">IF(O15&lt;&gt;"",O15,G15+H15)</f>
        <v>2035</v>
      </c>
      <c r="N15" s="17" t="n">
        <f aca="false">M15+2</f>
        <v>2037</v>
      </c>
      <c r="O15" s="18"/>
    </row>
    <row r="16" customFormat="false" ht="15" hidden="false" customHeight="false" outlineLevel="0" collapsed="false">
      <c r="A16" s="19" t="s">
        <v>59</v>
      </c>
      <c r="D16" s="20" t="n">
        <f aca="false">SUM(D3:D15)</f>
        <v>665000</v>
      </c>
      <c r="E16" s="20" t="n">
        <f aca="false">SUM(E3:E15)</f>
        <v>409000</v>
      </c>
      <c r="F16" s="20" t="n">
        <f aca="false">SUM(F3:F15)</f>
        <v>256000</v>
      </c>
    </row>
    <row r="18" customFormat="false" ht="15" hidden="false" customHeight="false" outlineLevel="0" collapsed="false">
      <c r="A18" s="21" t="s">
        <v>60</v>
      </c>
      <c r="B18" s="21"/>
      <c r="C18" s="21"/>
      <c r="D18" s="21"/>
      <c r="E18" s="21"/>
      <c r="F18" s="21"/>
      <c r="G18" s="21"/>
      <c r="H18" s="21"/>
      <c r="I18" s="21"/>
      <c r="J18" s="21"/>
      <c r="K18" s="21"/>
    </row>
    <row r="20" customFormat="false" ht="15" hidden="false" customHeight="false" outlineLevel="0" collapsed="false">
      <c r="A20" s="21" t="s">
        <v>61</v>
      </c>
      <c r="B20" s="21"/>
      <c r="C20" s="21"/>
      <c r="D20" s="21"/>
      <c r="E20" s="21"/>
      <c r="F20" s="21"/>
      <c r="G20" s="21"/>
      <c r="H20" s="21"/>
      <c r="I20" s="21"/>
      <c r="J20" s="21"/>
      <c r="K20" s="21"/>
    </row>
  </sheetData>
  <mergeCells count="2">
    <mergeCell ref="A18:K18"/>
    <mergeCell ref="A20:K20"/>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3"/>
    <col collapsed="false" customWidth="true" hidden="false" outlineLevel="0" max="2" min="2" style="0" width="104"/>
  </cols>
  <sheetData>
    <row r="2" customFormat="false" ht="20" hidden="false" customHeight="false" outlineLevel="0" collapsed="false">
      <c r="B2" s="22" t="s">
        <v>62</v>
      </c>
    </row>
    <row r="3" customFormat="false" ht="30" hidden="false" customHeight="true" outlineLevel="0" collapsed="false">
      <c r="B3" s="2" t="s">
        <v>63</v>
      </c>
    </row>
    <row r="5" customFormat="false" ht="15" hidden="false" customHeight="false" outlineLevel="0" collapsed="false">
      <c r="B5" s="23" t="s">
        <v>64</v>
      </c>
    </row>
    <row r="6" customFormat="false" ht="45.75" hidden="false" customHeight="true" outlineLevel="0" collapsed="false">
      <c r="B6" s="4" t="s">
        <v>65</v>
      </c>
    </row>
    <row r="8" customFormat="false" ht="15" hidden="false" customHeight="false" outlineLevel="0" collapsed="false">
      <c r="B8" s="23" t="s">
        <v>66</v>
      </c>
    </row>
    <row r="9" customFormat="false" ht="45.75" hidden="false" customHeight="true" outlineLevel="0" collapsed="false">
      <c r="B9" s="4" t="s">
        <v>67</v>
      </c>
    </row>
    <row r="11" customFormat="false" ht="15" hidden="false" customHeight="false" outlineLevel="0" collapsed="false">
      <c r="B11" s="23" t="s">
        <v>68</v>
      </c>
    </row>
    <row r="12" customFormat="false" ht="45.75" hidden="false" customHeight="true" outlineLevel="0" collapsed="false">
      <c r="B12" s="4" t="s">
        <v>69</v>
      </c>
    </row>
    <row r="14" customFormat="false" ht="15" hidden="false" customHeight="false" outlineLevel="0" collapsed="false">
      <c r="B14" s="23" t="s">
        <v>70</v>
      </c>
    </row>
    <row r="15" customFormat="false" ht="45.75" hidden="false" customHeight="true" outlineLevel="0" collapsed="false">
      <c r="B15" s="4" t="s">
        <v>71</v>
      </c>
    </row>
    <row r="17" customFormat="false" ht="17" hidden="false" customHeight="false" outlineLevel="0" collapsed="false">
      <c r="B17" s="3" t="s">
        <v>72</v>
      </c>
    </row>
    <row r="18" customFormat="false" ht="45.75" hidden="false" customHeight="true" outlineLevel="0" collapsed="false">
      <c r="B18" s="4" t="s">
        <v>73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LibreOffice/26.8.0.3$Windows_X86_64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2026-09-23T16:18:35Z</dcterms:created>
  <dc:creator>openpyxl</dc:creator>
  <dc:description/>
  <dc:language>en-US</dc:language>
  <cp:lastModifiedBy/>
  <dcterms:modified xsi:type="dcterms:W3CDTF">2026-09-23T16:18:35Z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